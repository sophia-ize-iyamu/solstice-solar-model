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  <font>
      <b val="1"/>
      <color rgb="001F3864"/>
    </font>
    <font>
      <b val="1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3" fontId="0" fillId="2" borderId="1" pivotButton="0" quotePrefix="0" xfId="0"/>
    <xf numFmtId="164" fontId="0" fillId="2" borderId="1" pivotButton="0" quotePrefix="0" xfId="0"/>
    <xf numFmtId="10" fontId="0" fillId="2" borderId="1" pivotButton="0" quotePrefix="0" xfId="0"/>
    <xf numFmtId="4" fontId="0" fillId="2" borderId="1" pivotButton="0" quotePrefix="0" xfId="0"/>
    <xf numFmtId="9" fontId="0" fillId="2" borderId="1" pivotButton="0" quotePrefix="0" xfId="0"/>
    <xf numFmtId="2" fontId="0" fillId="2" borderId="1" pivotButton="0" quotePrefix="0" xfId="0"/>
    <xf numFmtId="3" fontId="0" fillId="0" borderId="0" pivotButton="0" quotePrefix="0" xfId="0"/>
    <xf numFmtId="0" fontId="2" fillId="3" borderId="1" applyAlignment="1" pivotButton="0" quotePrefix="0" xfId="0">
      <alignment vertical="center" wrapText="1"/>
    </xf>
    <xf numFmtId="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164" fontId="0" fillId="0" borderId="1" pivotButton="0" quotePrefix="0" xfId="0"/>
    <xf numFmtId="164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Solstice | Assumptions</t>
        </is>
      </c>
    </row>
    <row r="2">
      <c r="A2" t="inlineStr">
        <is>
          <t>Solar nameplate (MW)</t>
        </is>
      </c>
      <c r="B2" s="2" t="n">
        <v>200</v>
      </c>
    </row>
    <row r="3">
      <c r="A3" t="inlineStr">
        <is>
          <t>Capacity factor</t>
        </is>
      </c>
      <c r="B3" s="3" t="n">
        <v>0.25</v>
      </c>
    </row>
    <row r="4">
      <c r="A4" t="inlineStr">
        <is>
          <t>Annual degradation</t>
        </is>
      </c>
      <c r="B4" s="4" t="n">
        <v>0.005</v>
      </c>
    </row>
    <row r="5">
      <c r="A5" t="inlineStr">
        <is>
          <t>Storage power (MW)</t>
        </is>
      </c>
      <c r="B5" s="2" t="n">
        <v>50</v>
      </c>
    </row>
    <row r="6">
      <c r="A6" t="inlineStr">
        <is>
          <t>Storage capacity pmt ($/kW-mo)</t>
        </is>
      </c>
      <c r="B6" s="5" t="n">
        <v>9</v>
      </c>
    </row>
    <row r="7">
      <c r="A7" t="inlineStr">
        <is>
          <t>Capex ($)</t>
        </is>
      </c>
      <c r="B7" s="2" t="n">
        <v>230000000</v>
      </c>
    </row>
    <row r="8">
      <c r="A8" t="inlineStr">
        <is>
          <t>PPA price ($/MWh)</t>
        </is>
      </c>
      <c r="B8" s="5" t="n">
        <v>58</v>
      </c>
    </row>
    <row r="9">
      <c r="A9" t="inlineStr">
        <is>
          <t>PPA term (yrs)</t>
        </is>
      </c>
      <c r="B9" s="2" t="n">
        <v>20</v>
      </c>
    </row>
    <row r="10">
      <c r="A10" t="inlineStr">
        <is>
          <t>Merchant price ($/MWh)</t>
        </is>
      </c>
      <c r="B10" s="5" t="n">
        <v>42</v>
      </c>
    </row>
    <row r="11">
      <c r="A11" t="inlineStr">
        <is>
          <t>Escalation</t>
        </is>
      </c>
      <c r="B11" s="3" t="n">
        <v>0.02</v>
      </c>
    </row>
    <row r="12">
      <c r="A12" t="inlineStr">
        <is>
          <t>Fixed O&amp;M, yr1 ($)</t>
        </is>
      </c>
      <c r="B12" s="2" t="n">
        <v>4000000</v>
      </c>
    </row>
    <row r="13">
      <c r="A13" t="inlineStr">
        <is>
          <t>Operating life (yrs)</t>
        </is>
      </c>
      <c r="B13" s="2" t="n">
        <v>30</v>
      </c>
    </row>
    <row r="14">
      <c r="A14" t="inlineStr">
        <is>
          <t>Gearing (debt % capex)</t>
        </is>
      </c>
      <c r="B14" s="6" t="n">
        <v>0.65</v>
      </c>
    </row>
    <row r="15">
      <c r="A15" t="inlineStr">
        <is>
          <t>Cost of debt</t>
        </is>
      </c>
      <c r="B15" s="3" t="n">
        <v>0.06</v>
      </c>
    </row>
    <row r="16">
      <c r="A16" t="inlineStr">
        <is>
          <t>Debt tenor (yrs)</t>
        </is>
      </c>
      <c r="B16" s="2" t="n">
        <v>18</v>
      </c>
    </row>
    <row r="17">
      <c r="A17" t="inlineStr">
        <is>
          <t>Tax rate</t>
        </is>
      </c>
      <c r="B17" s="6" t="n">
        <v>0.25</v>
      </c>
    </row>
    <row r="18">
      <c r="A18" t="inlineStr">
        <is>
          <t>Unlevered discount rate</t>
        </is>
      </c>
      <c r="B18" s="3" t="n">
        <v>0.07000000000000001</v>
      </c>
    </row>
    <row r="19">
      <c r="A19" t="inlineStr">
        <is>
          <t>Grid emissions factor (t/MWh)</t>
        </is>
      </c>
      <c r="B19" s="7" t="n">
        <v>0.4</v>
      </c>
    </row>
    <row r="21">
      <c r="A21" t="inlineStr">
        <is>
          <t>Debt drawn ($)</t>
        </is>
      </c>
      <c r="B21" s="8">
        <f>B7*B14</f>
        <v/>
      </c>
    </row>
    <row r="22">
      <c r="A22" t="inlineStr">
        <is>
          <t>Equity ($)</t>
        </is>
      </c>
      <c r="B22" s="8">
        <f>B7-B21</f>
        <v/>
      </c>
    </row>
    <row r="23">
      <c r="A23" t="inlineStr">
        <is>
          <t>Level debt pmt ($)</t>
        </is>
      </c>
      <c r="B23" s="8">
        <f>B21*B15/(1-(1+B15)^-B16)</f>
        <v/>
      </c>
    </row>
    <row r="24">
      <c r="A24" t="inlineStr">
        <is>
          <t>Depreciation/yr ($)</t>
        </is>
      </c>
      <c r="B24" s="8">
        <f>B7/B13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9" t="inlineStr">
        <is>
          <t>Year</t>
        </is>
      </c>
      <c r="B1" s="9" t="inlineStr">
        <is>
          <t>Generation (MWh)</t>
        </is>
      </c>
      <c r="C1" s="9" t="inlineStr">
        <is>
          <t>Energy price ($/MWh)</t>
        </is>
      </c>
      <c r="D1" s="9" t="inlineStr">
        <is>
          <t>Energy revenue ($)</t>
        </is>
      </c>
      <c r="E1" s="9" t="inlineStr">
        <is>
          <t>Storage revenue ($)</t>
        </is>
      </c>
      <c r="F1" s="9" t="inlineStr">
        <is>
          <t>Revenue ($)</t>
        </is>
      </c>
      <c r="G1" s="9" t="inlineStr">
        <is>
          <t>Opex ($)</t>
        </is>
      </c>
      <c r="H1" s="9" t="inlineStr">
        <is>
          <t>EBITDA ($)</t>
        </is>
      </c>
      <c r="I1" s="9" t="inlineStr">
        <is>
          <t>Depreciation ($)</t>
        </is>
      </c>
      <c r="J1" s="9" t="inlineStr">
        <is>
          <t>Interest ($)</t>
        </is>
      </c>
      <c r="K1" s="9" t="inlineStr">
        <is>
          <t>Principal ($)</t>
        </is>
      </c>
      <c r="L1" s="9" t="inlineStr">
        <is>
          <t>Debt balance ($)</t>
        </is>
      </c>
      <c r="M1" s="9" t="inlineStr">
        <is>
          <t>Tax-levered ($)</t>
        </is>
      </c>
      <c r="N1" s="9" t="inlineStr">
        <is>
          <t>Equity cash flow ($)</t>
        </is>
      </c>
      <c r="O1" s="9" t="inlineStr">
        <is>
          <t>Unlevered FCF ($)</t>
        </is>
      </c>
      <c r="P1" s="9" t="inlineStr">
        <is>
          <t>DSCR</t>
        </is>
      </c>
    </row>
    <row r="2">
      <c r="A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>
        <f>Assumptions!$B$21</f>
        <v/>
      </c>
      <c r="M2" t="n">
        <v>0</v>
      </c>
      <c r="N2">
        <f>-Assumptions!$B$22</f>
        <v/>
      </c>
      <c r="O2">
        <f>-Assumptions!$B$7</f>
        <v/>
      </c>
    </row>
    <row r="3">
      <c r="A3" t="n">
        <v>1</v>
      </c>
      <c r="B3" s="8">
        <f>Assumptions!$B$2*8760*Assumptions!$B$3*(1-Assumptions!$B$4)^(A3-1)</f>
        <v/>
      </c>
      <c r="C3" s="10">
        <f>IF(A3&lt;=Assumptions!$B$9,Assumptions!$B$8*(1+Assumptions!$B$11)^(A3-1),Assumptions!$B$10*(1+Assumptions!$B$11)^(A3-Assumptions!$B$9-1))</f>
        <v/>
      </c>
      <c r="D3" s="8">
        <f>B3*C3</f>
        <v/>
      </c>
      <c r="E3" s="8">
        <f>Assumptions!$B$5*1000*Assumptions!$B$6*12*(1+Assumptions!$B$11)^(A3-1)</f>
        <v/>
      </c>
      <c r="F3" s="8">
        <f>D3+E3</f>
        <v/>
      </c>
      <c r="G3" s="8">
        <f>Assumptions!$B$12*(1+Assumptions!$B$11)^(A3-1)</f>
        <v/>
      </c>
      <c r="H3" s="8">
        <f>F3-G3</f>
        <v/>
      </c>
      <c r="I3" s="8">
        <f>Assumptions!$B$24</f>
        <v/>
      </c>
      <c r="J3" s="8">
        <f>IF(A3&lt;=Assumptions!$B$16,L2*Assumptions!$B$15,0)</f>
        <v/>
      </c>
      <c r="K3" s="8">
        <f>IF(A3&lt;=Assumptions!$B$16,Assumptions!$B$23-J3,0)</f>
        <v/>
      </c>
      <c r="L3" s="8">
        <f>IF(A3&lt;=Assumptions!$B$16,L2-K3,0)</f>
        <v/>
      </c>
      <c r="M3" s="8">
        <f>MAX(0,H3-I3-J3)*Assumptions!$B$17</f>
        <v/>
      </c>
      <c r="N3" s="8">
        <f>H3-J3-K3-M3</f>
        <v/>
      </c>
      <c r="O3" s="8">
        <f>H3-MAX(0,H3-I3)*Assumptions!$B$17</f>
        <v/>
      </c>
      <c r="P3" s="11">
        <f>IF(A3&lt;=Assumptions!$B$16,H3/(J3+K3),"")</f>
        <v/>
      </c>
    </row>
    <row r="4">
      <c r="A4" t="n">
        <v>2</v>
      </c>
      <c r="B4" s="8">
        <f>Assumptions!$B$2*8760*Assumptions!$B$3*(1-Assumptions!$B$4)^(A4-1)</f>
        <v/>
      </c>
      <c r="C4" s="10">
        <f>IF(A4&lt;=Assumptions!$B$9,Assumptions!$B$8*(1+Assumptions!$B$11)^(A4-1),Assumptions!$B$10*(1+Assumptions!$B$11)^(A4-Assumptions!$B$9-1))</f>
        <v/>
      </c>
      <c r="D4" s="8">
        <f>B4*C4</f>
        <v/>
      </c>
      <c r="E4" s="8">
        <f>Assumptions!$B$5*1000*Assumptions!$B$6*12*(1+Assumptions!$B$11)^(A4-1)</f>
        <v/>
      </c>
      <c r="F4" s="8">
        <f>D4+E4</f>
        <v/>
      </c>
      <c r="G4" s="8">
        <f>Assumptions!$B$12*(1+Assumptions!$B$11)^(A4-1)</f>
        <v/>
      </c>
      <c r="H4" s="8">
        <f>F4-G4</f>
        <v/>
      </c>
      <c r="I4" s="8">
        <f>Assumptions!$B$24</f>
        <v/>
      </c>
      <c r="J4" s="8">
        <f>IF(A4&lt;=Assumptions!$B$16,L3*Assumptions!$B$15,0)</f>
        <v/>
      </c>
      <c r="K4" s="8">
        <f>IF(A4&lt;=Assumptions!$B$16,Assumptions!$B$23-J4,0)</f>
        <v/>
      </c>
      <c r="L4" s="8">
        <f>IF(A4&lt;=Assumptions!$B$16,L3-K4,0)</f>
        <v/>
      </c>
      <c r="M4" s="8">
        <f>MAX(0,H4-I4-J4)*Assumptions!$B$17</f>
        <v/>
      </c>
      <c r="N4" s="8">
        <f>H4-J4-K4-M4</f>
        <v/>
      </c>
      <c r="O4" s="8">
        <f>H4-MAX(0,H4-I4)*Assumptions!$B$17</f>
        <v/>
      </c>
      <c r="P4" s="11">
        <f>IF(A4&lt;=Assumptions!$B$16,H4/(J4+K4),"")</f>
        <v/>
      </c>
    </row>
    <row r="5">
      <c r="A5" t="n">
        <v>3</v>
      </c>
      <c r="B5" s="8">
        <f>Assumptions!$B$2*8760*Assumptions!$B$3*(1-Assumptions!$B$4)^(A5-1)</f>
        <v/>
      </c>
      <c r="C5" s="10">
        <f>IF(A5&lt;=Assumptions!$B$9,Assumptions!$B$8*(1+Assumptions!$B$11)^(A5-1),Assumptions!$B$10*(1+Assumptions!$B$11)^(A5-Assumptions!$B$9-1))</f>
        <v/>
      </c>
      <c r="D5" s="8">
        <f>B5*C5</f>
        <v/>
      </c>
      <c r="E5" s="8">
        <f>Assumptions!$B$5*1000*Assumptions!$B$6*12*(1+Assumptions!$B$11)^(A5-1)</f>
        <v/>
      </c>
      <c r="F5" s="8">
        <f>D5+E5</f>
        <v/>
      </c>
      <c r="G5" s="8">
        <f>Assumptions!$B$12*(1+Assumptions!$B$11)^(A5-1)</f>
        <v/>
      </c>
      <c r="H5" s="8">
        <f>F5-G5</f>
        <v/>
      </c>
      <c r="I5" s="8">
        <f>Assumptions!$B$24</f>
        <v/>
      </c>
      <c r="J5" s="8">
        <f>IF(A5&lt;=Assumptions!$B$16,L4*Assumptions!$B$15,0)</f>
        <v/>
      </c>
      <c r="K5" s="8">
        <f>IF(A5&lt;=Assumptions!$B$16,Assumptions!$B$23-J5,0)</f>
        <v/>
      </c>
      <c r="L5" s="8">
        <f>IF(A5&lt;=Assumptions!$B$16,L4-K5,0)</f>
        <v/>
      </c>
      <c r="M5" s="8">
        <f>MAX(0,H5-I5-J5)*Assumptions!$B$17</f>
        <v/>
      </c>
      <c r="N5" s="8">
        <f>H5-J5-K5-M5</f>
        <v/>
      </c>
      <c r="O5" s="8">
        <f>H5-MAX(0,H5-I5)*Assumptions!$B$17</f>
        <v/>
      </c>
      <c r="P5" s="11">
        <f>IF(A5&lt;=Assumptions!$B$16,H5/(J5+K5),"")</f>
        <v/>
      </c>
    </row>
    <row r="6">
      <c r="A6" t="n">
        <v>4</v>
      </c>
      <c r="B6" s="8">
        <f>Assumptions!$B$2*8760*Assumptions!$B$3*(1-Assumptions!$B$4)^(A6-1)</f>
        <v/>
      </c>
      <c r="C6" s="10">
        <f>IF(A6&lt;=Assumptions!$B$9,Assumptions!$B$8*(1+Assumptions!$B$11)^(A6-1),Assumptions!$B$10*(1+Assumptions!$B$11)^(A6-Assumptions!$B$9-1))</f>
        <v/>
      </c>
      <c r="D6" s="8">
        <f>B6*C6</f>
        <v/>
      </c>
      <c r="E6" s="8">
        <f>Assumptions!$B$5*1000*Assumptions!$B$6*12*(1+Assumptions!$B$11)^(A6-1)</f>
        <v/>
      </c>
      <c r="F6" s="8">
        <f>D6+E6</f>
        <v/>
      </c>
      <c r="G6" s="8">
        <f>Assumptions!$B$12*(1+Assumptions!$B$11)^(A6-1)</f>
        <v/>
      </c>
      <c r="H6" s="8">
        <f>F6-G6</f>
        <v/>
      </c>
      <c r="I6" s="8">
        <f>Assumptions!$B$24</f>
        <v/>
      </c>
      <c r="J6" s="8">
        <f>IF(A6&lt;=Assumptions!$B$16,L5*Assumptions!$B$15,0)</f>
        <v/>
      </c>
      <c r="K6" s="8">
        <f>IF(A6&lt;=Assumptions!$B$16,Assumptions!$B$23-J6,0)</f>
        <v/>
      </c>
      <c r="L6" s="8">
        <f>IF(A6&lt;=Assumptions!$B$16,L5-K6,0)</f>
        <v/>
      </c>
      <c r="M6" s="8">
        <f>MAX(0,H6-I6-J6)*Assumptions!$B$17</f>
        <v/>
      </c>
      <c r="N6" s="8">
        <f>H6-J6-K6-M6</f>
        <v/>
      </c>
      <c r="O6" s="8">
        <f>H6-MAX(0,H6-I6)*Assumptions!$B$17</f>
        <v/>
      </c>
      <c r="P6" s="11">
        <f>IF(A6&lt;=Assumptions!$B$16,H6/(J6+K6),"")</f>
        <v/>
      </c>
    </row>
    <row r="7">
      <c r="A7" t="n">
        <v>5</v>
      </c>
      <c r="B7" s="8">
        <f>Assumptions!$B$2*8760*Assumptions!$B$3*(1-Assumptions!$B$4)^(A7-1)</f>
        <v/>
      </c>
      <c r="C7" s="10">
        <f>IF(A7&lt;=Assumptions!$B$9,Assumptions!$B$8*(1+Assumptions!$B$11)^(A7-1),Assumptions!$B$10*(1+Assumptions!$B$11)^(A7-Assumptions!$B$9-1))</f>
        <v/>
      </c>
      <c r="D7" s="8">
        <f>B7*C7</f>
        <v/>
      </c>
      <c r="E7" s="8">
        <f>Assumptions!$B$5*1000*Assumptions!$B$6*12*(1+Assumptions!$B$11)^(A7-1)</f>
        <v/>
      </c>
      <c r="F7" s="8">
        <f>D7+E7</f>
        <v/>
      </c>
      <c r="G7" s="8">
        <f>Assumptions!$B$12*(1+Assumptions!$B$11)^(A7-1)</f>
        <v/>
      </c>
      <c r="H7" s="8">
        <f>F7-G7</f>
        <v/>
      </c>
      <c r="I7" s="8">
        <f>Assumptions!$B$24</f>
        <v/>
      </c>
      <c r="J7" s="8">
        <f>IF(A7&lt;=Assumptions!$B$16,L6*Assumptions!$B$15,0)</f>
        <v/>
      </c>
      <c r="K7" s="8">
        <f>IF(A7&lt;=Assumptions!$B$16,Assumptions!$B$23-J7,0)</f>
        <v/>
      </c>
      <c r="L7" s="8">
        <f>IF(A7&lt;=Assumptions!$B$16,L6-K7,0)</f>
        <v/>
      </c>
      <c r="M7" s="8">
        <f>MAX(0,H7-I7-J7)*Assumptions!$B$17</f>
        <v/>
      </c>
      <c r="N7" s="8">
        <f>H7-J7-K7-M7</f>
        <v/>
      </c>
      <c r="O7" s="8">
        <f>H7-MAX(0,H7-I7)*Assumptions!$B$17</f>
        <v/>
      </c>
      <c r="P7" s="11">
        <f>IF(A7&lt;=Assumptions!$B$16,H7/(J7+K7),"")</f>
        <v/>
      </c>
    </row>
    <row r="8">
      <c r="A8" t="n">
        <v>6</v>
      </c>
      <c r="B8" s="8">
        <f>Assumptions!$B$2*8760*Assumptions!$B$3*(1-Assumptions!$B$4)^(A8-1)</f>
        <v/>
      </c>
      <c r="C8" s="10">
        <f>IF(A8&lt;=Assumptions!$B$9,Assumptions!$B$8*(1+Assumptions!$B$11)^(A8-1),Assumptions!$B$10*(1+Assumptions!$B$11)^(A8-Assumptions!$B$9-1))</f>
        <v/>
      </c>
      <c r="D8" s="8">
        <f>B8*C8</f>
        <v/>
      </c>
      <c r="E8" s="8">
        <f>Assumptions!$B$5*1000*Assumptions!$B$6*12*(1+Assumptions!$B$11)^(A8-1)</f>
        <v/>
      </c>
      <c r="F8" s="8">
        <f>D8+E8</f>
        <v/>
      </c>
      <c r="G8" s="8">
        <f>Assumptions!$B$12*(1+Assumptions!$B$11)^(A8-1)</f>
        <v/>
      </c>
      <c r="H8" s="8">
        <f>F8-G8</f>
        <v/>
      </c>
      <c r="I8" s="8">
        <f>Assumptions!$B$24</f>
        <v/>
      </c>
      <c r="J8" s="8">
        <f>IF(A8&lt;=Assumptions!$B$16,L7*Assumptions!$B$15,0)</f>
        <v/>
      </c>
      <c r="K8" s="8">
        <f>IF(A8&lt;=Assumptions!$B$16,Assumptions!$B$23-J8,0)</f>
        <v/>
      </c>
      <c r="L8" s="8">
        <f>IF(A8&lt;=Assumptions!$B$16,L7-K8,0)</f>
        <v/>
      </c>
      <c r="M8" s="8">
        <f>MAX(0,H8-I8-J8)*Assumptions!$B$17</f>
        <v/>
      </c>
      <c r="N8" s="8">
        <f>H8-J8-K8-M8</f>
        <v/>
      </c>
      <c r="O8" s="8">
        <f>H8-MAX(0,H8-I8)*Assumptions!$B$17</f>
        <v/>
      </c>
      <c r="P8" s="11">
        <f>IF(A8&lt;=Assumptions!$B$16,H8/(J8+K8),"")</f>
        <v/>
      </c>
    </row>
    <row r="9">
      <c r="A9" t="n">
        <v>7</v>
      </c>
      <c r="B9" s="8">
        <f>Assumptions!$B$2*8760*Assumptions!$B$3*(1-Assumptions!$B$4)^(A9-1)</f>
        <v/>
      </c>
      <c r="C9" s="10">
        <f>IF(A9&lt;=Assumptions!$B$9,Assumptions!$B$8*(1+Assumptions!$B$11)^(A9-1),Assumptions!$B$10*(1+Assumptions!$B$11)^(A9-Assumptions!$B$9-1))</f>
        <v/>
      </c>
      <c r="D9" s="8">
        <f>B9*C9</f>
        <v/>
      </c>
      <c r="E9" s="8">
        <f>Assumptions!$B$5*1000*Assumptions!$B$6*12*(1+Assumptions!$B$11)^(A9-1)</f>
        <v/>
      </c>
      <c r="F9" s="8">
        <f>D9+E9</f>
        <v/>
      </c>
      <c r="G9" s="8">
        <f>Assumptions!$B$12*(1+Assumptions!$B$11)^(A9-1)</f>
        <v/>
      </c>
      <c r="H9" s="8">
        <f>F9-G9</f>
        <v/>
      </c>
      <c r="I9" s="8">
        <f>Assumptions!$B$24</f>
        <v/>
      </c>
      <c r="J9" s="8">
        <f>IF(A9&lt;=Assumptions!$B$16,L8*Assumptions!$B$15,0)</f>
        <v/>
      </c>
      <c r="K9" s="8">
        <f>IF(A9&lt;=Assumptions!$B$16,Assumptions!$B$23-J9,0)</f>
        <v/>
      </c>
      <c r="L9" s="8">
        <f>IF(A9&lt;=Assumptions!$B$16,L8-K9,0)</f>
        <v/>
      </c>
      <c r="M9" s="8">
        <f>MAX(0,H9-I9-J9)*Assumptions!$B$17</f>
        <v/>
      </c>
      <c r="N9" s="8">
        <f>H9-J9-K9-M9</f>
        <v/>
      </c>
      <c r="O9" s="8">
        <f>H9-MAX(0,H9-I9)*Assumptions!$B$17</f>
        <v/>
      </c>
      <c r="P9" s="11">
        <f>IF(A9&lt;=Assumptions!$B$16,H9/(J9+K9),"")</f>
        <v/>
      </c>
    </row>
    <row r="10">
      <c r="A10" t="n">
        <v>8</v>
      </c>
      <c r="B10" s="8">
        <f>Assumptions!$B$2*8760*Assumptions!$B$3*(1-Assumptions!$B$4)^(A10-1)</f>
        <v/>
      </c>
      <c r="C10" s="10">
        <f>IF(A10&lt;=Assumptions!$B$9,Assumptions!$B$8*(1+Assumptions!$B$11)^(A10-1),Assumptions!$B$10*(1+Assumptions!$B$11)^(A10-Assumptions!$B$9-1))</f>
        <v/>
      </c>
      <c r="D10" s="8">
        <f>B10*C10</f>
        <v/>
      </c>
      <c r="E10" s="8">
        <f>Assumptions!$B$5*1000*Assumptions!$B$6*12*(1+Assumptions!$B$11)^(A10-1)</f>
        <v/>
      </c>
      <c r="F10" s="8">
        <f>D10+E10</f>
        <v/>
      </c>
      <c r="G10" s="8">
        <f>Assumptions!$B$12*(1+Assumptions!$B$11)^(A10-1)</f>
        <v/>
      </c>
      <c r="H10" s="8">
        <f>F10-G10</f>
        <v/>
      </c>
      <c r="I10" s="8">
        <f>Assumptions!$B$24</f>
        <v/>
      </c>
      <c r="J10" s="8">
        <f>IF(A10&lt;=Assumptions!$B$16,L9*Assumptions!$B$15,0)</f>
        <v/>
      </c>
      <c r="K10" s="8">
        <f>IF(A10&lt;=Assumptions!$B$16,Assumptions!$B$23-J10,0)</f>
        <v/>
      </c>
      <c r="L10" s="8">
        <f>IF(A10&lt;=Assumptions!$B$16,L9-K10,0)</f>
        <v/>
      </c>
      <c r="M10" s="8">
        <f>MAX(0,H10-I10-J10)*Assumptions!$B$17</f>
        <v/>
      </c>
      <c r="N10" s="8">
        <f>H10-J10-K10-M10</f>
        <v/>
      </c>
      <c r="O10" s="8">
        <f>H10-MAX(0,H10-I10)*Assumptions!$B$17</f>
        <v/>
      </c>
      <c r="P10" s="11">
        <f>IF(A10&lt;=Assumptions!$B$16,H10/(J10+K10),"")</f>
        <v/>
      </c>
    </row>
    <row r="11">
      <c r="A11" t="n">
        <v>9</v>
      </c>
      <c r="B11" s="8">
        <f>Assumptions!$B$2*8760*Assumptions!$B$3*(1-Assumptions!$B$4)^(A11-1)</f>
        <v/>
      </c>
      <c r="C11" s="10">
        <f>IF(A11&lt;=Assumptions!$B$9,Assumptions!$B$8*(1+Assumptions!$B$11)^(A11-1),Assumptions!$B$10*(1+Assumptions!$B$11)^(A11-Assumptions!$B$9-1))</f>
        <v/>
      </c>
      <c r="D11" s="8">
        <f>B11*C11</f>
        <v/>
      </c>
      <c r="E11" s="8">
        <f>Assumptions!$B$5*1000*Assumptions!$B$6*12*(1+Assumptions!$B$11)^(A11-1)</f>
        <v/>
      </c>
      <c r="F11" s="8">
        <f>D11+E11</f>
        <v/>
      </c>
      <c r="G11" s="8">
        <f>Assumptions!$B$12*(1+Assumptions!$B$11)^(A11-1)</f>
        <v/>
      </c>
      <c r="H11" s="8">
        <f>F11-G11</f>
        <v/>
      </c>
      <c r="I11" s="8">
        <f>Assumptions!$B$24</f>
        <v/>
      </c>
      <c r="J11" s="8">
        <f>IF(A11&lt;=Assumptions!$B$16,L10*Assumptions!$B$15,0)</f>
        <v/>
      </c>
      <c r="K11" s="8">
        <f>IF(A11&lt;=Assumptions!$B$16,Assumptions!$B$23-J11,0)</f>
        <v/>
      </c>
      <c r="L11" s="8">
        <f>IF(A11&lt;=Assumptions!$B$16,L10-K11,0)</f>
        <v/>
      </c>
      <c r="M11" s="8">
        <f>MAX(0,H11-I11-J11)*Assumptions!$B$17</f>
        <v/>
      </c>
      <c r="N11" s="8">
        <f>H11-J11-K11-M11</f>
        <v/>
      </c>
      <c r="O11" s="8">
        <f>H11-MAX(0,H11-I11)*Assumptions!$B$17</f>
        <v/>
      </c>
      <c r="P11" s="11">
        <f>IF(A11&lt;=Assumptions!$B$16,H11/(J11+K11),"")</f>
        <v/>
      </c>
    </row>
    <row r="12">
      <c r="A12" t="n">
        <v>10</v>
      </c>
      <c r="B12" s="8">
        <f>Assumptions!$B$2*8760*Assumptions!$B$3*(1-Assumptions!$B$4)^(A12-1)</f>
        <v/>
      </c>
      <c r="C12" s="10">
        <f>IF(A12&lt;=Assumptions!$B$9,Assumptions!$B$8*(1+Assumptions!$B$11)^(A12-1),Assumptions!$B$10*(1+Assumptions!$B$11)^(A12-Assumptions!$B$9-1))</f>
        <v/>
      </c>
      <c r="D12" s="8">
        <f>B12*C12</f>
        <v/>
      </c>
      <c r="E12" s="8">
        <f>Assumptions!$B$5*1000*Assumptions!$B$6*12*(1+Assumptions!$B$11)^(A12-1)</f>
        <v/>
      </c>
      <c r="F12" s="8">
        <f>D12+E12</f>
        <v/>
      </c>
      <c r="G12" s="8">
        <f>Assumptions!$B$12*(1+Assumptions!$B$11)^(A12-1)</f>
        <v/>
      </c>
      <c r="H12" s="8">
        <f>F12-G12</f>
        <v/>
      </c>
      <c r="I12" s="8">
        <f>Assumptions!$B$24</f>
        <v/>
      </c>
      <c r="J12" s="8">
        <f>IF(A12&lt;=Assumptions!$B$16,L11*Assumptions!$B$15,0)</f>
        <v/>
      </c>
      <c r="K12" s="8">
        <f>IF(A12&lt;=Assumptions!$B$16,Assumptions!$B$23-J12,0)</f>
        <v/>
      </c>
      <c r="L12" s="8">
        <f>IF(A12&lt;=Assumptions!$B$16,L11-K12,0)</f>
        <v/>
      </c>
      <c r="M12" s="8">
        <f>MAX(0,H12-I12-J12)*Assumptions!$B$17</f>
        <v/>
      </c>
      <c r="N12" s="8">
        <f>H12-J12-K12-M12</f>
        <v/>
      </c>
      <c r="O12" s="8">
        <f>H12-MAX(0,H12-I12)*Assumptions!$B$17</f>
        <v/>
      </c>
      <c r="P12" s="11">
        <f>IF(A12&lt;=Assumptions!$B$16,H12/(J12+K12),"")</f>
        <v/>
      </c>
    </row>
    <row r="13">
      <c r="A13" t="n">
        <v>11</v>
      </c>
      <c r="B13" s="8">
        <f>Assumptions!$B$2*8760*Assumptions!$B$3*(1-Assumptions!$B$4)^(A13-1)</f>
        <v/>
      </c>
      <c r="C13" s="10">
        <f>IF(A13&lt;=Assumptions!$B$9,Assumptions!$B$8*(1+Assumptions!$B$11)^(A13-1),Assumptions!$B$10*(1+Assumptions!$B$11)^(A13-Assumptions!$B$9-1))</f>
        <v/>
      </c>
      <c r="D13" s="8">
        <f>B13*C13</f>
        <v/>
      </c>
      <c r="E13" s="8">
        <f>Assumptions!$B$5*1000*Assumptions!$B$6*12*(1+Assumptions!$B$11)^(A13-1)</f>
        <v/>
      </c>
      <c r="F13" s="8">
        <f>D13+E13</f>
        <v/>
      </c>
      <c r="G13" s="8">
        <f>Assumptions!$B$12*(1+Assumptions!$B$11)^(A13-1)</f>
        <v/>
      </c>
      <c r="H13" s="8">
        <f>F13-G13</f>
        <v/>
      </c>
      <c r="I13" s="8">
        <f>Assumptions!$B$24</f>
        <v/>
      </c>
      <c r="J13" s="8">
        <f>IF(A13&lt;=Assumptions!$B$16,L12*Assumptions!$B$15,0)</f>
        <v/>
      </c>
      <c r="K13" s="8">
        <f>IF(A13&lt;=Assumptions!$B$16,Assumptions!$B$23-J13,0)</f>
        <v/>
      </c>
      <c r="L13" s="8">
        <f>IF(A13&lt;=Assumptions!$B$16,L12-K13,0)</f>
        <v/>
      </c>
      <c r="M13" s="8">
        <f>MAX(0,H13-I13-J13)*Assumptions!$B$17</f>
        <v/>
      </c>
      <c r="N13" s="8">
        <f>H13-J13-K13-M13</f>
        <v/>
      </c>
      <c r="O13" s="8">
        <f>H13-MAX(0,H13-I13)*Assumptions!$B$17</f>
        <v/>
      </c>
      <c r="P13" s="11">
        <f>IF(A13&lt;=Assumptions!$B$16,H13/(J13+K13),"")</f>
        <v/>
      </c>
    </row>
    <row r="14">
      <c r="A14" t="n">
        <v>12</v>
      </c>
      <c r="B14" s="8">
        <f>Assumptions!$B$2*8760*Assumptions!$B$3*(1-Assumptions!$B$4)^(A14-1)</f>
        <v/>
      </c>
      <c r="C14" s="10">
        <f>IF(A14&lt;=Assumptions!$B$9,Assumptions!$B$8*(1+Assumptions!$B$11)^(A14-1),Assumptions!$B$10*(1+Assumptions!$B$11)^(A14-Assumptions!$B$9-1))</f>
        <v/>
      </c>
      <c r="D14" s="8">
        <f>B14*C14</f>
        <v/>
      </c>
      <c r="E14" s="8">
        <f>Assumptions!$B$5*1000*Assumptions!$B$6*12*(1+Assumptions!$B$11)^(A14-1)</f>
        <v/>
      </c>
      <c r="F14" s="8">
        <f>D14+E14</f>
        <v/>
      </c>
      <c r="G14" s="8">
        <f>Assumptions!$B$12*(1+Assumptions!$B$11)^(A14-1)</f>
        <v/>
      </c>
      <c r="H14" s="8">
        <f>F14-G14</f>
        <v/>
      </c>
      <c r="I14" s="8">
        <f>Assumptions!$B$24</f>
        <v/>
      </c>
      <c r="J14" s="8">
        <f>IF(A14&lt;=Assumptions!$B$16,L13*Assumptions!$B$15,0)</f>
        <v/>
      </c>
      <c r="K14" s="8">
        <f>IF(A14&lt;=Assumptions!$B$16,Assumptions!$B$23-J14,0)</f>
        <v/>
      </c>
      <c r="L14" s="8">
        <f>IF(A14&lt;=Assumptions!$B$16,L13-K14,0)</f>
        <v/>
      </c>
      <c r="M14" s="8">
        <f>MAX(0,H14-I14-J14)*Assumptions!$B$17</f>
        <v/>
      </c>
      <c r="N14" s="8">
        <f>H14-J14-K14-M14</f>
        <v/>
      </c>
      <c r="O14" s="8">
        <f>H14-MAX(0,H14-I14)*Assumptions!$B$17</f>
        <v/>
      </c>
      <c r="P14" s="11">
        <f>IF(A14&lt;=Assumptions!$B$16,H14/(J14+K14),"")</f>
        <v/>
      </c>
    </row>
    <row r="15">
      <c r="A15" t="n">
        <v>13</v>
      </c>
      <c r="B15" s="8">
        <f>Assumptions!$B$2*8760*Assumptions!$B$3*(1-Assumptions!$B$4)^(A15-1)</f>
        <v/>
      </c>
      <c r="C15" s="10">
        <f>IF(A15&lt;=Assumptions!$B$9,Assumptions!$B$8*(1+Assumptions!$B$11)^(A15-1),Assumptions!$B$10*(1+Assumptions!$B$11)^(A15-Assumptions!$B$9-1))</f>
        <v/>
      </c>
      <c r="D15" s="8">
        <f>B15*C15</f>
        <v/>
      </c>
      <c r="E15" s="8">
        <f>Assumptions!$B$5*1000*Assumptions!$B$6*12*(1+Assumptions!$B$11)^(A15-1)</f>
        <v/>
      </c>
      <c r="F15" s="8">
        <f>D15+E15</f>
        <v/>
      </c>
      <c r="G15" s="8">
        <f>Assumptions!$B$12*(1+Assumptions!$B$11)^(A15-1)</f>
        <v/>
      </c>
      <c r="H15" s="8">
        <f>F15-G15</f>
        <v/>
      </c>
      <c r="I15" s="8">
        <f>Assumptions!$B$24</f>
        <v/>
      </c>
      <c r="J15" s="8">
        <f>IF(A15&lt;=Assumptions!$B$16,L14*Assumptions!$B$15,0)</f>
        <v/>
      </c>
      <c r="K15" s="8">
        <f>IF(A15&lt;=Assumptions!$B$16,Assumptions!$B$23-J15,0)</f>
        <v/>
      </c>
      <c r="L15" s="8">
        <f>IF(A15&lt;=Assumptions!$B$16,L14-K15,0)</f>
        <v/>
      </c>
      <c r="M15" s="8">
        <f>MAX(0,H15-I15-J15)*Assumptions!$B$17</f>
        <v/>
      </c>
      <c r="N15" s="8">
        <f>H15-J15-K15-M15</f>
        <v/>
      </c>
      <c r="O15" s="8">
        <f>H15-MAX(0,H15-I15)*Assumptions!$B$17</f>
        <v/>
      </c>
      <c r="P15" s="11">
        <f>IF(A15&lt;=Assumptions!$B$16,H15/(J15+K15),"")</f>
        <v/>
      </c>
    </row>
    <row r="16">
      <c r="A16" t="n">
        <v>14</v>
      </c>
      <c r="B16" s="8">
        <f>Assumptions!$B$2*8760*Assumptions!$B$3*(1-Assumptions!$B$4)^(A16-1)</f>
        <v/>
      </c>
      <c r="C16" s="10">
        <f>IF(A16&lt;=Assumptions!$B$9,Assumptions!$B$8*(1+Assumptions!$B$11)^(A16-1),Assumptions!$B$10*(1+Assumptions!$B$11)^(A16-Assumptions!$B$9-1))</f>
        <v/>
      </c>
      <c r="D16" s="8">
        <f>B16*C16</f>
        <v/>
      </c>
      <c r="E16" s="8">
        <f>Assumptions!$B$5*1000*Assumptions!$B$6*12*(1+Assumptions!$B$11)^(A16-1)</f>
        <v/>
      </c>
      <c r="F16" s="8">
        <f>D16+E16</f>
        <v/>
      </c>
      <c r="G16" s="8">
        <f>Assumptions!$B$12*(1+Assumptions!$B$11)^(A16-1)</f>
        <v/>
      </c>
      <c r="H16" s="8">
        <f>F16-G16</f>
        <v/>
      </c>
      <c r="I16" s="8">
        <f>Assumptions!$B$24</f>
        <v/>
      </c>
      <c r="J16" s="8">
        <f>IF(A16&lt;=Assumptions!$B$16,L15*Assumptions!$B$15,0)</f>
        <v/>
      </c>
      <c r="K16" s="8">
        <f>IF(A16&lt;=Assumptions!$B$16,Assumptions!$B$23-J16,0)</f>
        <v/>
      </c>
      <c r="L16" s="8">
        <f>IF(A16&lt;=Assumptions!$B$16,L15-K16,0)</f>
        <v/>
      </c>
      <c r="M16" s="8">
        <f>MAX(0,H16-I16-J16)*Assumptions!$B$17</f>
        <v/>
      </c>
      <c r="N16" s="8">
        <f>H16-J16-K16-M16</f>
        <v/>
      </c>
      <c r="O16" s="8">
        <f>H16-MAX(0,H16-I16)*Assumptions!$B$17</f>
        <v/>
      </c>
      <c r="P16" s="11">
        <f>IF(A16&lt;=Assumptions!$B$16,H16/(J16+K16),"")</f>
        <v/>
      </c>
    </row>
    <row r="17">
      <c r="A17" t="n">
        <v>15</v>
      </c>
      <c r="B17" s="8">
        <f>Assumptions!$B$2*8760*Assumptions!$B$3*(1-Assumptions!$B$4)^(A17-1)</f>
        <v/>
      </c>
      <c r="C17" s="10">
        <f>IF(A17&lt;=Assumptions!$B$9,Assumptions!$B$8*(1+Assumptions!$B$11)^(A17-1),Assumptions!$B$10*(1+Assumptions!$B$11)^(A17-Assumptions!$B$9-1))</f>
        <v/>
      </c>
      <c r="D17" s="8">
        <f>B17*C17</f>
        <v/>
      </c>
      <c r="E17" s="8">
        <f>Assumptions!$B$5*1000*Assumptions!$B$6*12*(1+Assumptions!$B$11)^(A17-1)</f>
        <v/>
      </c>
      <c r="F17" s="8">
        <f>D17+E17</f>
        <v/>
      </c>
      <c r="G17" s="8">
        <f>Assumptions!$B$12*(1+Assumptions!$B$11)^(A17-1)</f>
        <v/>
      </c>
      <c r="H17" s="8">
        <f>F17-G17</f>
        <v/>
      </c>
      <c r="I17" s="8">
        <f>Assumptions!$B$24</f>
        <v/>
      </c>
      <c r="J17" s="8">
        <f>IF(A17&lt;=Assumptions!$B$16,L16*Assumptions!$B$15,0)</f>
        <v/>
      </c>
      <c r="K17" s="8">
        <f>IF(A17&lt;=Assumptions!$B$16,Assumptions!$B$23-J17,0)</f>
        <v/>
      </c>
      <c r="L17" s="8">
        <f>IF(A17&lt;=Assumptions!$B$16,L16-K17,0)</f>
        <v/>
      </c>
      <c r="M17" s="8">
        <f>MAX(0,H17-I17-J17)*Assumptions!$B$17</f>
        <v/>
      </c>
      <c r="N17" s="8">
        <f>H17-J17-K17-M17</f>
        <v/>
      </c>
      <c r="O17" s="8">
        <f>H17-MAX(0,H17-I17)*Assumptions!$B$17</f>
        <v/>
      </c>
      <c r="P17" s="11">
        <f>IF(A17&lt;=Assumptions!$B$16,H17/(J17+K17),"")</f>
        <v/>
      </c>
    </row>
    <row r="18">
      <c r="A18" t="n">
        <v>16</v>
      </c>
      <c r="B18" s="8">
        <f>Assumptions!$B$2*8760*Assumptions!$B$3*(1-Assumptions!$B$4)^(A18-1)</f>
        <v/>
      </c>
      <c r="C18" s="10">
        <f>IF(A18&lt;=Assumptions!$B$9,Assumptions!$B$8*(1+Assumptions!$B$11)^(A18-1),Assumptions!$B$10*(1+Assumptions!$B$11)^(A18-Assumptions!$B$9-1))</f>
        <v/>
      </c>
      <c r="D18" s="8">
        <f>B18*C18</f>
        <v/>
      </c>
      <c r="E18" s="8">
        <f>Assumptions!$B$5*1000*Assumptions!$B$6*12*(1+Assumptions!$B$11)^(A18-1)</f>
        <v/>
      </c>
      <c r="F18" s="8">
        <f>D18+E18</f>
        <v/>
      </c>
      <c r="G18" s="8">
        <f>Assumptions!$B$12*(1+Assumptions!$B$11)^(A18-1)</f>
        <v/>
      </c>
      <c r="H18" s="8">
        <f>F18-G18</f>
        <v/>
      </c>
      <c r="I18" s="8">
        <f>Assumptions!$B$24</f>
        <v/>
      </c>
      <c r="J18" s="8">
        <f>IF(A18&lt;=Assumptions!$B$16,L17*Assumptions!$B$15,0)</f>
        <v/>
      </c>
      <c r="K18" s="8">
        <f>IF(A18&lt;=Assumptions!$B$16,Assumptions!$B$23-J18,0)</f>
        <v/>
      </c>
      <c r="L18" s="8">
        <f>IF(A18&lt;=Assumptions!$B$16,L17-K18,0)</f>
        <v/>
      </c>
      <c r="M18" s="8">
        <f>MAX(0,H18-I18-J18)*Assumptions!$B$17</f>
        <v/>
      </c>
      <c r="N18" s="8">
        <f>H18-J18-K18-M18</f>
        <v/>
      </c>
      <c r="O18" s="8">
        <f>H18-MAX(0,H18-I18)*Assumptions!$B$17</f>
        <v/>
      </c>
      <c r="P18" s="11">
        <f>IF(A18&lt;=Assumptions!$B$16,H18/(J18+K18),"")</f>
        <v/>
      </c>
    </row>
    <row r="19">
      <c r="A19" t="n">
        <v>17</v>
      </c>
      <c r="B19" s="8">
        <f>Assumptions!$B$2*8760*Assumptions!$B$3*(1-Assumptions!$B$4)^(A19-1)</f>
        <v/>
      </c>
      <c r="C19" s="10">
        <f>IF(A19&lt;=Assumptions!$B$9,Assumptions!$B$8*(1+Assumptions!$B$11)^(A19-1),Assumptions!$B$10*(1+Assumptions!$B$11)^(A19-Assumptions!$B$9-1))</f>
        <v/>
      </c>
      <c r="D19" s="8">
        <f>B19*C19</f>
        <v/>
      </c>
      <c r="E19" s="8">
        <f>Assumptions!$B$5*1000*Assumptions!$B$6*12*(1+Assumptions!$B$11)^(A19-1)</f>
        <v/>
      </c>
      <c r="F19" s="8">
        <f>D19+E19</f>
        <v/>
      </c>
      <c r="G19" s="8">
        <f>Assumptions!$B$12*(1+Assumptions!$B$11)^(A19-1)</f>
        <v/>
      </c>
      <c r="H19" s="8">
        <f>F19-G19</f>
        <v/>
      </c>
      <c r="I19" s="8">
        <f>Assumptions!$B$24</f>
        <v/>
      </c>
      <c r="J19" s="8">
        <f>IF(A19&lt;=Assumptions!$B$16,L18*Assumptions!$B$15,0)</f>
        <v/>
      </c>
      <c r="K19" s="8">
        <f>IF(A19&lt;=Assumptions!$B$16,Assumptions!$B$23-J19,0)</f>
        <v/>
      </c>
      <c r="L19" s="8">
        <f>IF(A19&lt;=Assumptions!$B$16,L18-K19,0)</f>
        <v/>
      </c>
      <c r="M19" s="8">
        <f>MAX(0,H19-I19-J19)*Assumptions!$B$17</f>
        <v/>
      </c>
      <c r="N19" s="8">
        <f>H19-J19-K19-M19</f>
        <v/>
      </c>
      <c r="O19" s="8">
        <f>H19-MAX(0,H19-I19)*Assumptions!$B$17</f>
        <v/>
      </c>
      <c r="P19" s="11">
        <f>IF(A19&lt;=Assumptions!$B$16,H19/(J19+K19),"")</f>
        <v/>
      </c>
    </row>
    <row r="20">
      <c r="A20" t="n">
        <v>18</v>
      </c>
      <c r="B20" s="8">
        <f>Assumptions!$B$2*8760*Assumptions!$B$3*(1-Assumptions!$B$4)^(A20-1)</f>
        <v/>
      </c>
      <c r="C20" s="10">
        <f>IF(A20&lt;=Assumptions!$B$9,Assumptions!$B$8*(1+Assumptions!$B$11)^(A20-1),Assumptions!$B$10*(1+Assumptions!$B$11)^(A20-Assumptions!$B$9-1))</f>
        <v/>
      </c>
      <c r="D20" s="8">
        <f>B20*C20</f>
        <v/>
      </c>
      <c r="E20" s="8">
        <f>Assumptions!$B$5*1000*Assumptions!$B$6*12*(1+Assumptions!$B$11)^(A20-1)</f>
        <v/>
      </c>
      <c r="F20" s="8">
        <f>D20+E20</f>
        <v/>
      </c>
      <c r="G20" s="8">
        <f>Assumptions!$B$12*(1+Assumptions!$B$11)^(A20-1)</f>
        <v/>
      </c>
      <c r="H20" s="8">
        <f>F20-G20</f>
        <v/>
      </c>
      <c r="I20" s="8">
        <f>Assumptions!$B$24</f>
        <v/>
      </c>
      <c r="J20" s="8">
        <f>IF(A20&lt;=Assumptions!$B$16,L19*Assumptions!$B$15,0)</f>
        <v/>
      </c>
      <c r="K20" s="8">
        <f>IF(A20&lt;=Assumptions!$B$16,Assumptions!$B$23-J20,0)</f>
        <v/>
      </c>
      <c r="L20" s="8">
        <f>IF(A20&lt;=Assumptions!$B$16,L19-K20,0)</f>
        <v/>
      </c>
      <c r="M20" s="8">
        <f>MAX(0,H20-I20-J20)*Assumptions!$B$17</f>
        <v/>
      </c>
      <c r="N20" s="8">
        <f>H20-J20-K20-M20</f>
        <v/>
      </c>
      <c r="O20" s="8">
        <f>H20-MAX(0,H20-I20)*Assumptions!$B$17</f>
        <v/>
      </c>
      <c r="P20" s="11">
        <f>IF(A20&lt;=Assumptions!$B$16,H20/(J20+K20),"")</f>
        <v/>
      </c>
    </row>
    <row r="21">
      <c r="A21" t="n">
        <v>19</v>
      </c>
      <c r="B21" s="8">
        <f>Assumptions!$B$2*8760*Assumptions!$B$3*(1-Assumptions!$B$4)^(A21-1)</f>
        <v/>
      </c>
      <c r="C21" s="10">
        <f>IF(A21&lt;=Assumptions!$B$9,Assumptions!$B$8*(1+Assumptions!$B$11)^(A21-1),Assumptions!$B$10*(1+Assumptions!$B$11)^(A21-Assumptions!$B$9-1))</f>
        <v/>
      </c>
      <c r="D21" s="8">
        <f>B21*C21</f>
        <v/>
      </c>
      <c r="E21" s="8">
        <f>Assumptions!$B$5*1000*Assumptions!$B$6*12*(1+Assumptions!$B$11)^(A21-1)</f>
        <v/>
      </c>
      <c r="F21" s="8">
        <f>D21+E21</f>
        <v/>
      </c>
      <c r="G21" s="8">
        <f>Assumptions!$B$12*(1+Assumptions!$B$11)^(A21-1)</f>
        <v/>
      </c>
      <c r="H21" s="8">
        <f>F21-G21</f>
        <v/>
      </c>
      <c r="I21" s="8">
        <f>Assumptions!$B$24</f>
        <v/>
      </c>
      <c r="J21" s="8">
        <f>IF(A21&lt;=Assumptions!$B$16,L20*Assumptions!$B$15,0)</f>
        <v/>
      </c>
      <c r="K21" s="8">
        <f>IF(A21&lt;=Assumptions!$B$16,Assumptions!$B$23-J21,0)</f>
        <v/>
      </c>
      <c r="L21" s="8">
        <f>IF(A21&lt;=Assumptions!$B$16,L20-K21,0)</f>
        <v/>
      </c>
      <c r="M21" s="8">
        <f>MAX(0,H21-I21-J21)*Assumptions!$B$17</f>
        <v/>
      </c>
      <c r="N21" s="8">
        <f>H21-J21-K21-M21</f>
        <v/>
      </c>
      <c r="O21" s="8">
        <f>H21-MAX(0,H21-I21)*Assumptions!$B$17</f>
        <v/>
      </c>
      <c r="P21" s="11">
        <f>IF(A21&lt;=Assumptions!$B$16,H21/(J21+K21),"")</f>
        <v/>
      </c>
    </row>
    <row r="22">
      <c r="A22" t="n">
        <v>20</v>
      </c>
      <c r="B22" s="8">
        <f>Assumptions!$B$2*8760*Assumptions!$B$3*(1-Assumptions!$B$4)^(A22-1)</f>
        <v/>
      </c>
      <c r="C22" s="10">
        <f>IF(A22&lt;=Assumptions!$B$9,Assumptions!$B$8*(1+Assumptions!$B$11)^(A22-1),Assumptions!$B$10*(1+Assumptions!$B$11)^(A22-Assumptions!$B$9-1))</f>
        <v/>
      </c>
      <c r="D22" s="8">
        <f>B22*C22</f>
        <v/>
      </c>
      <c r="E22" s="8">
        <f>Assumptions!$B$5*1000*Assumptions!$B$6*12*(1+Assumptions!$B$11)^(A22-1)</f>
        <v/>
      </c>
      <c r="F22" s="8">
        <f>D22+E22</f>
        <v/>
      </c>
      <c r="G22" s="8">
        <f>Assumptions!$B$12*(1+Assumptions!$B$11)^(A22-1)</f>
        <v/>
      </c>
      <c r="H22" s="8">
        <f>F22-G22</f>
        <v/>
      </c>
      <c r="I22" s="8">
        <f>Assumptions!$B$24</f>
        <v/>
      </c>
      <c r="J22" s="8">
        <f>IF(A22&lt;=Assumptions!$B$16,L21*Assumptions!$B$15,0)</f>
        <v/>
      </c>
      <c r="K22" s="8">
        <f>IF(A22&lt;=Assumptions!$B$16,Assumptions!$B$23-J22,0)</f>
        <v/>
      </c>
      <c r="L22" s="8">
        <f>IF(A22&lt;=Assumptions!$B$16,L21-K22,0)</f>
        <v/>
      </c>
      <c r="M22" s="8">
        <f>MAX(0,H22-I22-J22)*Assumptions!$B$17</f>
        <v/>
      </c>
      <c r="N22" s="8">
        <f>H22-J22-K22-M22</f>
        <v/>
      </c>
      <c r="O22" s="8">
        <f>H22-MAX(0,H22-I22)*Assumptions!$B$17</f>
        <v/>
      </c>
      <c r="P22" s="11">
        <f>IF(A22&lt;=Assumptions!$B$16,H22/(J22+K22),"")</f>
        <v/>
      </c>
    </row>
    <row r="23">
      <c r="A23" t="n">
        <v>21</v>
      </c>
      <c r="B23" s="8">
        <f>Assumptions!$B$2*8760*Assumptions!$B$3*(1-Assumptions!$B$4)^(A23-1)</f>
        <v/>
      </c>
      <c r="C23" s="10">
        <f>IF(A23&lt;=Assumptions!$B$9,Assumptions!$B$8*(1+Assumptions!$B$11)^(A23-1),Assumptions!$B$10*(1+Assumptions!$B$11)^(A23-Assumptions!$B$9-1))</f>
        <v/>
      </c>
      <c r="D23" s="8">
        <f>B23*C23</f>
        <v/>
      </c>
      <c r="E23" s="8">
        <f>Assumptions!$B$5*1000*Assumptions!$B$6*12*(1+Assumptions!$B$11)^(A23-1)</f>
        <v/>
      </c>
      <c r="F23" s="8">
        <f>D23+E23</f>
        <v/>
      </c>
      <c r="G23" s="8">
        <f>Assumptions!$B$12*(1+Assumptions!$B$11)^(A23-1)</f>
        <v/>
      </c>
      <c r="H23" s="8">
        <f>F23-G23</f>
        <v/>
      </c>
      <c r="I23" s="8">
        <f>Assumptions!$B$24</f>
        <v/>
      </c>
      <c r="J23" s="8">
        <f>IF(A23&lt;=Assumptions!$B$16,L22*Assumptions!$B$15,0)</f>
        <v/>
      </c>
      <c r="K23" s="8">
        <f>IF(A23&lt;=Assumptions!$B$16,Assumptions!$B$23-J23,0)</f>
        <v/>
      </c>
      <c r="L23" s="8">
        <f>IF(A23&lt;=Assumptions!$B$16,L22-K23,0)</f>
        <v/>
      </c>
      <c r="M23" s="8">
        <f>MAX(0,H23-I23-J23)*Assumptions!$B$17</f>
        <v/>
      </c>
      <c r="N23" s="8">
        <f>H23-J23-K23-M23</f>
        <v/>
      </c>
      <c r="O23" s="8">
        <f>H23-MAX(0,H23-I23)*Assumptions!$B$17</f>
        <v/>
      </c>
      <c r="P23" s="11">
        <f>IF(A23&lt;=Assumptions!$B$16,H23/(J23+K23),"")</f>
        <v/>
      </c>
    </row>
    <row r="24">
      <c r="A24" t="n">
        <v>22</v>
      </c>
      <c r="B24" s="8">
        <f>Assumptions!$B$2*8760*Assumptions!$B$3*(1-Assumptions!$B$4)^(A24-1)</f>
        <v/>
      </c>
      <c r="C24" s="10">
        <f>IF(A24&lt;=Assumptions!$B$9,Assumptions!$B$8*(1+Assumptions!$B$11)^(A24-1),Assumptions!$B$10*(1+Assumptions!$B$11)^(A24-Assumptions!$B$9-1))</f>
        <v/>
      </c>
      <c r="D24" s="8">
        <f>B24*C24</f>
        <v/>
      </c>
      <c r="E24" s="8">
        <f>Assumptions!$B$5*1000*Assumptions!$B$6*12*(1+Assumptions!$B$11)^(A24-1)</f>
        <v/>
      </c>
      <c r="F24" s="8">
        <f>D24+E24</f>
        <v/>
      </c>
      <c r="G24" s="8">
        <f>Assumptions!$B$12*(1+Assumptions!$B$11)^(A24-1)</f>
        <v/>
      </c>
      <c r="H24" s="8">
        <f>F24-G24</f>
        <v/>
      </c>
      <c r="I24" s="8">
        <f>Assumptions!$B$24</f>
        <v/>
      </c>
      <c r="J24" s="8">
        <f>IF(A24&lt;=Assumptions!$B$16,L23*Assumptions!$B$15,0)</f>
        <v/>
      </c>
      <c r="K24" s="8">
        <f>IF(A24&lt;=Assumptions!$B$16,Assumptions!$B$23-J24,0)</f>
        <v/>
      </c>
      <c r="L24" s="8">
        <f>IF(A24&lt;=Assumptions!$B$16,L23-K24,0)</f>
        <v/>
      </c>
      <c r="M24" s="8">
        <f>MAX(0,H24-I24-J24)*Assumptions!$B$17</f>
        <v/>
      </c>
      <c r="N24" s="8">
        <f>H24-J24-K24-M24</f>
        <v/>
      </c>
      <c r="O24" s="8">
        <f>H24-MAX(0,H24-I24)*Assumptions!$B$17</f>
        <v/>
      </c>
      <c r="P24" s="11">
        <f>IF(A24&lt;=Assumptions!$B$16,H24/(J24+K24),"")</f>
        <v/>
      </c>
    </row>
    <row r="25">
      <c r="A25" t="n">
        <v>23</v>
      </c>
      <c r="B25" s="8">
        <f>Assumptions!$B$2*8760*Assumptions!$B$3*(1-Assumptions!$B$4)^(A25-1)</f>
        <v/>
      </c>
      <c r="C25" s="10">
        <f>IF(A25&lt;=Assumptions!$B$9,Assumptions!$B$8*(1+Assumptions!$B$11)^(A25-1),Assumptions!$B$10*(1+Assumptions!$B$11)^(A25-Assumptions!$B$9-1))</f>
        <v/>
      </c>
      <c r="D25" s="8">
        <f>B25*C25</f>
        <v/>
      </c>
      <c r="E25" s="8">
        <f>Assumptions!$B$5*1000*Assumptions!$B$6*12*(1+Assumptions!$B$11)^(A25-1)</f>
        <v/>
      </c>
      <c r="F25" s="8">
        <f>D25+E25</f>
        <v/>
      </c>
      <c r="G25" s="8">
        <f>Assumptions!$B$12*(1+Assumptions!$B$11)^(A25-1)</f>
        <v/>
      </c>
      <c r="H25" s="8">
        <f>F25-G25</f>
        <v/>
      </c>
      <c r="I25" s="8">
        <f>Assumptions!$B$24</f>
        <v/>
      </c>
      <c r="J25" s="8">
        <f>IF(A25&lt;=Assumptions!$B$16,L24*Assumptions!$B$15,0)</f>
        <v/>
      </c>
      <c r="K25" s="8">
        <f>IF(A25&lt;=Assumptions!$B$16,Assumptions!$B$23-J25,0)</f>
        <v/>
      </c>
      <c r="L25" s="8">
        <f>IF(A25&lt;=Assumptions!$B$16,L24-K25,0)</f>
        <v/>
      </c>
      <c r="M25" s="8">
        <f>MAX(0,H25-I25-J25)*Assumptions!$B$17</f>
        <v/>
      </c>
      <c r="N25" s="8">
        <f>H25-J25-K25-M25</f>
        <v/>
      </c>
      <c r="O25" s="8">
        <f>H25-MAX(0,H25-I25)*Assumptions!$B$17</f>
        <v/>
      </c>
      <c r="P25" s="11">
        <f>IF(A25&lt;=Assumptions!$B$16,H25/(J25+K25),"")</f>
        <v/>
      </c>
    </row>
    <row r="26">
      <c r="A26" t="n">
        <v>24</v>
      </c>
      <c r="B26" s="8">
        <f>Assumptions!$B$2*8760*Assumptions!$B$3*(1-Assumptions!$B$4)^(A26-1)</f>
        <v/>
      </c>
      <c r="C26" s="10">
        <f>IF(A26&lt;=Assumptions!$B$9,Assumptions!$B$8*(1+Assumptions!$B$11)^(A26-1),Assumptions!$B$10*(1+Assumptions!$B$11)^(A26-Assumptions!$B$9-1))</f>
        <v/>
      </c>
      <c r="D26" s="8">
        <f>B26*C26</f>
        <v/>
      </c>
      <c r="E26" s="8">
        <f>Assumptions!$B$5*1000*Assumptions!$B$6*12*(1+Assumptions!$B$11)^(A26-1)</f>
        <v/>
      </c>
      <c r="F26" s="8">
        <f>D26+E26</f>
        <v/>
      </c>
      <c r="G26" s="8">
        <f>Assumptions!$B$12*(1+Assumptions!$B$11)^(A26-1)</f>
        <v/>
      </c>
      <c r="H26" s="8">
        <f>F26-G26</f>
        <v/>
      </c>
      <c r="I26" s="8">
        <f>Assumptions!$B$24</f>
        <v/>
      </c>
      <c r="J26" s="8">
        <f>IF(A26&lt;=Assumptions!$B$16,L25*Assumptions!$B$15,0)</f>
        <v/>
      </c>
      <c r="K26" s="8">
        <f>IF(A26&lt;=Assumptions!$B$16,Assumptions!$B$23-J26,0)</f>
        <v/>
      </c>
      <c r="L26" s="8">
        <f>IF(A26&lt;=Assumptions!$B$16,L25-K26,0)</f>
        <v/>
      </c>
      <c r="M26" s="8">
        <f>MAX(0,H26-I26-J26)*Assumptions!$B$17</f>
        <v/>
      </c>
      <c r="N26" s="8">
        <f>H26-J26-K26-M26</f>
        <v/>
      </c>
      <c r="O26" s="8">
        <f>H26-MAX(0,H26-I26)*Assumptions!$B$17</f>
        <v/>
      </c>
      <c r="P26" s="11">
        <f>IF(A26&lt;=Assumptions!$B$16,H26/(J26+K26),"")</f>
        <v/>
      </c>
    </row>
    <row r="27">
      <c r="A27" t="n">
        <v>25</v>
      </c>
      <c r="B27" s="8">
        <f>Assumptions!$B$2*8760*Assumptions!$B$3*(1-Assumptions!$B$4)^(A27-1)</f>
        <v/>
      </c>
      <c r="C27" s="10">
        <f>IF(A27&lt;=Assumptions!$B$9,Assumptions!$B$8*(1+Assumptions!$B$11)^(A27-1),Assumptions!$B$10*(1+Assumptions!$B$11)^(A27-Assumptions!$B$9-1))</f>
        <v/>
      </c>
      <c r="D27" s="8">
        <f>B27*C27</f>
        <v/>
      </c>
      <c r="E27" s="8">
        <f>Assumptions!$B$5*1000*Assumptions!$B$6*12*(1+Assumptions!$B$11)^(A27-1)</f>
        <v/>
      </c>
      <c r="F27" s="8">
        <f>D27+E27</f>
        <v/>
      </c>
      <c r="G27" s="8">
        <f>Assumptions!$B$12*(1+Assumptions!$B$11)^(A27-1)</f>
        <v/>
      </c>
      <c r="H27" s="8">
        <f>F27-G27</f>
        <v/>
      </c>
      <c r="I27" s="8">
        <f>Assumptions!$B$24</f>
        <v/>
      </c>
      <c r="J27" s="8">
        <f>IF(A27&lt;=Assumptions!$B$16,L26*Assumptions!$B$15,0)</f>
        <v/>
      </c>
      <c r="K27" s="8">
        <f>IF(A27&lt;=Assumptions!$B$16,Assumptions!$B$23-J27,0)</f>
        <v/>
      </c>
      <c r="L27" s="8">
        <f>IF(A27&lt;=Assumptions!$B$16,L26-K27,0)</f>
        <v/>
      </c>
      <c r="M27" s="8">
        <f>MAX(0,H27-I27-J27)*Assumptions!$B$17</f>
        <v/>
      </c>
      <c r="N27" s="8">
        <f>H27-J27-K27-M27</f>
        <v/>
      </c>
      <c r="O27" s="8">
        <f>H27-MAX(0,H27-I27)*Assumptions!$B$17</f>
        <v/>
      </c>
      <c r="P27" s="11">
        <f>IF(A27&lt;=Assumptions!$B$16,H27/(J27+K27),"")</f>
        <v/>
      </c>
    </row>
    <row r="28">
      <c r="A28" t="n">
        <v>26</v>
      </c>
      <c r="B28" s="8">
        <f>Assumptions!$B$2*8760*Assumptions!$B$3*(1-Assumptions!$B$4)^(A28-1)</f>
        <v/>
      </c>
      <c r="C28" s="10">
        <f>IF(A28&lt;=Assumptions!$B$9,Assumptions!$B$8*(1+Assumptions!$B$11)^(A28-1),Assumptions!$B$10*(1+Assumptions!$B$11)^(A28-Assumptions!$B$9-1))</f>
        <v/>
      </c>
      <c r="D28" s="8">
        <f>B28*C28</f>
        <v/>
      </c>
      <c r="E28" s="8">
        <f>Assumptions!$B$5*1000*Assumptions!$B$6*12*(1+Assumptions!$B$11)^(A28-1)</f>
        <v/>
      </c>
      <c r="F28" s="8">
        <f>D28+E28</f>
        <v/>
      </c>
      <c r="G28" s="8">
        <f>Assumptions!$B$12*(1+Assumptions!$B$11)^(A28-1)</f>
        <v/>
      </c>
      <c r="H28" s="8">
        <f>F28-G28</f>
        <v/>
      </c>
      <c r="I28" s="8">
        <f>Assumptions!$B$24</f>
        <v/>
      </c>
      <c r="J28" s="8">
        <f>IF(A28&lt;=Assumptions!$B$16,L27*Assumptions!$B$15,0)</f>
        <v/>
      </c>
      <c r="K28" s="8">
        <f>IF(A28&lt;=Assumptions!$B$16,Assumptions!$B$23-J28,0)</f>
        <v/>
      </c>
      <c r="L28" s="8">
        <f>IF(A28&lt;=Assumptions!$B$16,L27-K28,0)</f>
        <v/>
      </c>
      <c r="M28" s="8">
        <f>MAX(0,H28-I28-J28)*Assumptions!$B$17</f>
        <v/>
      </c>
      <c r="N28" s="8">
        <f>H28-J28-K28-M28</f>
        <v/>
      </c>
      <c r="O28" s="8">
        <f>H28-MAX(0,H28-I28)*Assumptions!$B$17</f>
        <v/>
      </c>
      <c r="P28" s="11">
        <f>IF(A28&lt;=Assumptions!$B$16,H28/(J28+K28),"")</f>
        <v/>
      </c>
    </row>
    <row r="29">
      <c r="A29" t="n">
        <v>27</v>
      </c>
      <c r="B29" s="8">
        <f>Assumptions!$B$2*8760*Assumptions!$B$3*(1-Assumptions!$B$4)^(A29-1)</f>
        <v/>
      </c>
      <c r="C29" s="10">
        <f>IF(A29&lt;=Assumptions!$B$9,Assumptions!$B$8*(1+Assumptions!$B$11)^(A29-1),Assumptions!$B$10*(1+Assumptions!$B$11)^(A29-Assumptions!$B$9-1))</f>
        <v/>
      </c>
      <c r="D29" s="8">
        <f>B29*C29</f>
        <v/>
      </c>
      <c r="E29" s="8">
        <f>Assumptions!$B$5*1000*Assumptions!$B$6*12*(1+Assumptions!$B$11)^(A29-1)</f>
        <v/>
      </c>
      <c r="F29" s="8">
        <f>D29+E29</f>
        <v/>
      </c>
      <c r="G29" s="8">
        <f>Assumptions!$B$12*(1+Assumptions!$B$11)^(A29-1)</f>
        <v/>
      </c>
      <c r="H29" s="8">
        <f>F29-G29</f>
        <v/>
      </c>
      <c r="I29" s="8">
        <f>Assumptions!$B$24</f>
        <v/>
      </c>
      <c r="J29" s="8">
        <f>IF(A29&lt;=Assumptions!$B$16,L28*Assumptions!$B$15,0)</f>
        <v/>
      </c>
      <c r="K29" s="8">
        <f>IF(A29&lt;=Assumptions!$B$16,Assumptions!$B$23-J29,0)</f>
        <v/>
      </c>
      <c r="L29" s="8">
        <f>IF(A29&lt;=Assumptions!$B$16,L28-K29,0)</f>
        <v/>
      </c>
      <c r="M29" s="8">
        <f>MAX(0,H29-I29-J29)*Assumptions!$B$17</f>
        <v/>
      </c>
      <c r="N29" s="8">
        <f>H29-J29-K29-M29</f>
        <v/>
      </c>
      <c r="O29" s="8">
        <f>H29-MAX(0,H29-I29)*Assumptions!$B$17</f>
        <v/>
      </c>
      <c r="P29" s="11">
        <f>IF(A29&lt;=Assumptions!$B$16,H29/(J29+K29),"")</f>
        <v/>
      </c>
    </row>
    <row r="30">
      <c r="A30" t="n">
        <v>28</v>
      </c>
      <c r="B30" s="8">
        <f>Assumptions!$B$2*8760*Assumptions!$B$3*(1-Assumptions!$B$4)^(A30-1)</f>
        <v/>
      </c>
      <c r="C30" s="10">
        <f>IF(A30&lt;=Assumptions!$B$9,Assumptions!$B$8*(1+Assumptions!$B$11)^(A30-1),Assumptions!$B$10*(1+Assumptions!$B$11)^(A30-Assumptions!$B$9-1))</f>
        <v/>
      </c>
      <c r="D30" s="8">
        <f>B30*C30</f>
        <v/>
      </c>
      <c r="E30" s="8">
        <f>Assumptions!$B$5*1000*Assumptions!$B$6*12*(1+Assumptions!$B$11)^(A30-1)</f>
        <v/>
      </c>
      <c r="F30" s="8">
        <f>D30+E30</f>
        <v/>
      </c>
      <c r="G30" s="8">
        <f>Assumptions!$B$12*(1+Assumptions!$B$11)^(A30-1)</f>
        <v/>
      </c>
      <c r="H30" s="8">
        <f>F30-G30</f>
        <v/>
      </c>
      <c r="I30" s="8">
        <f>Assumptions!$B$24</f>
        <v/>
      </c>
      <c r="J30" s="8">
        <f>IF(A30&lt;=Assumptions!$B$16,L29*Assumptions!$B$15,0)</f>
        <v/>
      </c>
      <c r="K30" s="8">
        <f>IF(A30&lt;=Assumptions!$B$16,Assumptions!$B$23-J30,0)</f>
        <v/>
      </c>
      <c r="L30" s="8">
        <f>IF(A30&lt;=Assumptions!$B$16,L29-K30,0)</f>
        <v/>
      </c>
      <c r="M30" s="8">
        <f>MAX(0,H30-I30-J30)*Assumptions!$B$17</f>
        <v/>
      </c>
      <c r="N30" s="8">
        <f>H30-J30-K30-M30</f>
        <v/>
      </c>
      <c r="O30" s="8">
        <f>H30-MAX(0,H30-I30)*Assumptions!$B$17</f>
        <v/>
      </c>
      <c r="P30" s="11">
        <f>IF(A30&lt;=Assumptions!$B$16,H30/(J30+K30),"")</f>
        <v/>
      </c>
    </row>
    <row r="31">
      <c r="A31" t="n">
        <v>29</v>
      </c>
      <c r="B31" s="8">
        <f>Assumptions!$B$2*8760*Assumptions!$B$3*(1-Assumptions!$B$4)^(A31-1)</f>
        <v/>
      </c>
      <c r="C31" s="10">
        <f>IF(A31&lt;=Assumptions!$B$9,Assumptions!$B$8*(1+Assumptions!$B$11)^(A31-1),Assumptions!$B$10*(1+Assumptions!$B$11)^(A31-Assumptions!$B$9-1))</f>
        <v/>
      </c>
      <c r="D31" s="8">
        <f>B31*C31</f>
        <v/>
      </c>
      <c r="E31" s="8">
        <f>Assumptions!$B$5*1000*Assumptions!$B$6*12*(1+Assumptions!$B$11)^(A31-1)</f>
        <v/>
      </c>
      <c r="F31" s="8">
        <f>D31+E31</f>
        <v/>
      </c>
      <c r="G31" s="8">
        <f>Assumptions!$B$12*(1+Assumptions!$B$11)^(A31-1)</f>
        <v/>
      </c>
      <c r="H31" s="8">
        <f>F31-G31</f>
        <v/>
      </c>
      <c r="I31" s="8">
        <f>Assumptions!$B$24</f>
        <v/>
      </c>
      <c r="J31" s="8">
        <f>IF(A31&lt;=Assumptions!$B$16,L30*Assumptions!$B$15,0)</f>
        <v/>
      </c>
      <c r="K31" s="8">
        <f>IF(A31&lt;=Assumptions!$B$16,Assumptions!$B$23-J31,0)</f>
        <v/>
      </c>
      <c r="L31" s="8">
        <f>IF(A31&lt;=Assumptions!$B$16,L30-K31,0)</f>
        <v/>
      </c>
      <c r="M31" s="8">
        <f>MAX(0,H31-I31-J31)*Assumptions!$B$17</f>
        <v/>
      </c>
      <c r="N31" s="8">
        <f>H31-J31-K31-M31</f>
        <v/>
      </c>
      <c r="O31" s="8">
        <f>H31-MAX(0,H31-I31)*Assumptions!$B$17</f>
        <v/>
      </c>
      <c r="P31" s="11">
        <f>IF(A31&lt;=Assumptions!$B$16,H31/(J31+K31),"")</f>
        <v/>
      </c>
    </row>
    <row r="32">
      <c r="A32" t="n">
        <v>30</v>
      </c>
      <c r="B32" s="8">
        <f>Assumptions!$B$2*8760*Assumptions!$B$3*(1-Assumptions!$B$4)^(A32-1)</f>
        <v/>
      </c>
      <c r="C32" s="10">
        <f>IF(A32&lt;=Assumptions!$B$9,Assumptions!$B$8*(1+Assumptions!$B$11)^(A32-1),Assumptions!$B$10*(1+Assumptions!$B$11)^(A32-Assumptions!$B$9-1))</f>
        <v/>
      </c>
      <c r="D32" s="8">
        <f>B32*C32</f>
        <v/>
      </c>
      <c r="E32" s="8">
        <f>Assumptions!$B$5*1000*Assumptions!$B$6*12*(1+Assumptions!$B$11)^(A32-1)</f>
        <v/>
      </c>
      <c r="F32" s="8">
        <f>D32+E32</f>
        <v/>
      </c>
      <c r="G32" s="8">
        <f>Assumptions!$B$12*(1+Assumptions!$B$11)^(A32-1)</f>
        <v/>
      </c>
      <c r="H32" s="8">
        <f>F32-G32</f>
        <v/>
      </c>
      <c r="I32" s="8">
        <f>Assumptions!$B$24</f>
        <v/>
      </c>
      <c r="J32" s="8">
        <f>IF(A32&lt;=Assumptions!$B$16,L31*Assumptions!$B$15,0)</f>
        <v/>
      </c>
      <c r="K32" s="8">
        <f>IF(A32&lt;=Assumptions!$B$16,Assumptions!$B$23-J32,0)</f>
        <v/>
      </c>
      <c r="L32" s="8">
        <f>IF(A32&lt;=Assumptions!$B$16,L31-K32,0)</f>
        <v/>
      </c>
      <c r="M32" s="8">
        <f>MAX(0,H32-I32-J32)*Assumptions!$B$17</f>
        <v/>
      </c>
      <c r="N32" s="8">
        <f>H32-J32-K32-M32</f>
        <v/>
      </c>
      <c r="O32" s="8">
        <f>H32-MAX(0,H32-I32)*Assumptions!$B$17</f>
        <v/>
      </c>
      <c r="P32" s="11">
        <f>IF(A32&lt;=Assumptions!$B$16,H32/(J32+K32),"")</f>
        <v/>
      </c>
    </row>
    <row r="34">
      <c r="A34" s="12" t="inlineStr">
        <is>
          <t>RETURNS</t>
        </is>
      </c>
    </row>
    <row r="35">
      <c r="A35" t="inlineStr">
        <is>
          <t>Unlevered project IRR</t>
        </is>
      </c>
      <c r="B35" s="13">
        <f>IRR(O2:O32)</f>
        <v/>
      </c>
    </row>
    <row r="36">
      <c r="A36" t="inlineStr">
        <is>
          <t>Unlevered NPV @ disc rate ($)</t>
        </is>
      </c>
      <c r="B36" s="14">
        <f>O2+NPV(Assumptions!B18,O3:O32)</f>
        <v/>
      </c>
    </row>
    <row r="37">
      <c r="A37" t="inlineStr">
        <is>
          <t>Levered equity IRR</t>
        </is>
      </c>
      <c r="B37" s="13">
        <f>IRR(N2:N32)</f>
        <v/>
      </c>
    </row>
    <row r="38">
      <c r="A38" t="inlineStr">
        <is>
          <t>Equity MOIC</t>
        </is>
      </c>
      <c r="B38" s="15">
        <f>SUM(N3:N32)/-N2</f>
        <v/>
      </c>
    </row>
    <row r="39">
      <c r="A39" t="inlineStr">
        <is>
          <t>Minimum DSCR</t>
        </is>
      </c>
      <c r="B39" s="15">
        <f>MIN(P3:P32)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6" t="inlineStr">
        <is>
          <t>Levered equity IRR sensitivity</t>
        </is>
      </c>
    </row>
    <row r="2">
      <c r="A2" t="inlineStr">
        <is>
          <t>Rows: capex change   |   Columns: PPA price change ($/MWh)</t>
        </is>
      </c>
    </row>
    <row r="4">
      <c r="A4" s="17" t="inlineStr">
        <is>
          <t>capex \ PPA</t>
        </is>
      </c>
      <c r="B4" s="18" t="inlineStr">
        <is>
          <t>-6</t>
        </is>
      </c>
      <c r="C4" s="18" t="inlineStr">
        <is>
          <t>-3</t>
        </is>
      </c>
      <c r="D4" s="18" t="inlineStr">
        <is>
          <t>+0</t>
        </is>
      </c>
      <c r="E4" s="18" t="inlineStr">
        <is>
          <t>+3</t>
        </is>
      </c>
      <c r="F4" s="18" t="inlineStr">
        <is>
          <t>+6</t>
        </is>
      </c>
    </row>
    <row r="5">
      <c r="A5" s="19" t="inlineStr">
        <is>
          <t>-10%</t>
        </is>
      </c>
      <c r="B5" s="20" t="n">
        <v>0.1507576247677207</v>
      </c>
      <c r="C5" s="20" t="n">
        <v>0.1636040736921132</v>
      </c>
      <c r="D5" s="20" t="n">
        <v>0.1766178015619517</v>
      </c>
      <c r="E5" s="20" t="n">
        <v>0.1897647556848824</v>
      </c>
      <c r="F5" s="20" t="n">
        <v>0.2030161496251822</v>
      </c>
    </row>
    <row r="6">
      <c r="A6" s="19" t="inlineStr">
        <is>
          <t>-5%</t>
        </is>
      </c>
      <c r="B6" s="20" t="n">
        <v>0.1379538010340184</v>
      </c>
      <c r="C6" s="20" t="n">
        <v>0.1500144756399096</v>
      </c>
      <c r="D6" s="20" t="n">
        <v>0.1622502852231265</v>
      </c>
      <c r="E6" s="20" t="n">
        <v>0.1746284434571863</v>
      </c>
      <c r="F6" s="20" t="n">
        <v>0.1871204012073577</v>
      </c>
    </row>
    <row r="7">
      <c r="A7" s="19" t="inlineStr">
        <is>
          <t>+0%</t>
        </is>
      </c>
      <c r="B7" s="20" t="n">
        <v>0.1264516416937113</v>
      </c>
      <c r="C7" s="20" t="n">
        <v>0.1378041416872293</v>
      </c>
      <c r="D7" s="21" t="n">
        <v>0.149337061168626</v>
      </c>
      <c r="E7" s="20" t="n">
        <v>0.1610193958505988</v>
      </c>
      <c r="F7" s="20" t="n">
        <v>0.1728234111797065</v>
      </c>
    </row>
    <row r="8">
      <c r="A8" s="19" t="inlineStr">
        <is>
          <t>+5%</t>
        </is>
      </c>
      <c r="B8" s="20" t="n">
        <v>0.1160588827449829</v>
      </c>
      <c r="C8" s="20" t="n">
        <v>0.126771119562909</v>
      </c>
      <c r="D8" s="20" t="n">
        <v>0.1376667626667769</v>
      </c>
      <c r="E8" s="20" t="n">
        <v>0.148716922942549</v>
      </c>
      <c r="F8" s="20" t="n">
        <v>0.159895109385252</v>
      </c>
    </row>
    <row r="9">
      <c r="A9" s="19" t="inlineStr">
        <is>
          <t>+10%</t>
        </is>
      </c>
      <c r="B9" s="20" t="n">
        <v>0.1066184491850436</v>
      </c>
      <c r="C9" s="20" t="n">
        <v>0.1167501450981945</v>
      </c>
      <c r="D9" s="20" t="n">
        <v>0.1270662603899836</v>
      </c>
      <c r="E9" s="20" t="n">
        <v>0.1375402059406042</v>
      </c>
      <c r="F9" s="20" t="n">
        <v>0.1481470126658679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2026-06-16T21:58:56Z</dcterms:created>
  <dcterms:modified xmlns:dcterms="http://purl.org/dc/terms/" xmlns:xsi="http://www.w3.org/2001/XMLSchema-instance" xsi:type="dcterms:W3CDTF">2026-06-16T21:58:56Z</dcterms:modified>
</cp:coreProperties>
</file>